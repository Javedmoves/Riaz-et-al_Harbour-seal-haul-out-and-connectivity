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vforskningsinstituttet-my.sharepoint.com/personal/a46027_hi_no/Documents/Documents/Data/Harbour seal movement/GPS processing/"/>
    </mc:Choice>
  </mc:AlternateContent>
  <xr:revisionPtr revIDLastSave="44" documentId="13_ncr:1_{9CC77B6D-2A0A-41F3-8E77-9BA01849CCDF}" xr6:coauthVersionLast="47" xr6:coauthVersionMax="47" xr10:uidLastSave="{1084D086-0EA7-4C56-BA56-63B17B607813}"/>
  <bookViews>
    <workbookView xWindow="-28920" yWindow="2520" windowWidth="29040" windowHeight="15720" xr2:uid="{72EBC9D0-A09E-4D7B-86AE-055B701C2884}"/>
  </bookViews>
  <sheets>
    <sheet name="Sea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1" l="1"/>
  <c r="R14" i="1"/>
  <c r="R15" i="1"/>
  <c r="R16" i="1"/>
  <c r="R17" i="1"/>
  <c r="R29" i="1"/>
  <c r="R28" i="1"/>
  <c r="R27" i="1"/>
  <c r="R26" i="1"/>
  <c r="R25" i="1"/>
  <c r="R24" i="1"/>
  <c r="R23" i="1"/>
  <c r="R22" i="1"/>
  <c r="R21" i="1"/>
  <c r="R20" i="1"/>
  <c r="R19" i="1"/>
  <c r="R18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<sst xmlns="http://schemas.openxmlformats.org/spreadsheetml/2006/main" count="159" uniqueCount="85">
  <si>
    <t>M</t>
  </si>
  <si>
    <t>F</t>
  </si>
  <si>
    <t>Bolærne</t>
  </si>
  <si>
    <t>Hvaler</t>
  </si>
  <si>
    <t>Jomfruland</t>
  </si>
  <si>
    <t>Askerøy</t>
  </si>
  <si>
    <t>Capture site</t>
  </si>
  <si>
    <t>Last position</t>
  </si>
  <si>
    <t>N days</t>
  </si>
  <si>
    <t>M75_Rauer</t>
  </si>
  <si>
    <t>M73_Svarten</t>
  </si>
  <si>
    <t>M86_Knappen</t>
  </si>
  <si>
    <t>M79_Nuvle</t>
  </si>
  <si>
    <t>M62_Bøle</t>
  </si>
  <si>
    <t>M81_Galten</t>
  </si>
  <si>
    <t>M87_Bassen</t>
  </si>
  <si>
    <t>F36_Tova</t>
  </si>
  <si>
    <t>M67_Stampa</t>
  </si>
  <si>
    <t>M39_Einar</t>
  </si>
  <si>
    <t>M44_Vemund</t>
  </si>
  <si>
    <t>F50_Iris</t>
  </si>
  <si>
    <t>F53_Karin</t>
  </si>
  <si>
    <t>M37_Pedro</t>
  </si>
  <si>
    <t>M59_Gamle-Erik</t>
  </si>
  <si>
    <t>M83_Bjørn</t>
  </si>
  <si>
    <t>F43_Olivia</t>
  </si>
  <si>
    <t>M67_Osito</t>
  </si>
  <si>
    <t>M85_Diego</t>
  </si>
  <si>
    <t>M80_Ra</t>
  </si>
  <si>
    <t>M75_Rulle</t>
  </si>
  <si>
    <t>M91_Morene</t>
  </si>
  <si>
    <t>N</t>
  </si>
  <si>
    <t>Sex</t>
  </si>
  <si>
    <t>Weight (kg)</t>
  </si>
  <si>
    <t>Length (cm)</t>
  </si>
  <si>
    <t>PTT</t>
  </si>
  <si>
    <t>REF</t>
  </si>
  <si>
    <t>pv77-023-20</t>
  </si>
  <si>
    <t>pv77-028-20</t>
  </si>
  <si>
    <t>pv77-029-20</t>
  </si>
  <si>
    <t>pv77-030-20</t>
  </si>
  <si>
    <t>pv77-064-21</t>
  </si>
  <si>
    <t>pv77-065-21</t>
  </si>
  <si>
    <t>pv77-066-21</t>
  </si>
  <si>
    <t>pv77-067-21</t>
  </si>
  <si>
    <t>pv77-068-21</t>
  </si>
  <si>
    <t>pv76-M83_Ra-20</t>
  </si>
  <si>
    <t>pv76-M94_Morene-20</t>
  </si>
  <si>
    <t>pv74-M62_Gamle-Erik-20</t>
  </si>
  <si>
    <t>pv74-M86_Bjorn-20</t>
  </si>
  <si>
    <t>pv74-F46_Olivia-20</t>
  </si>
  <si>
    <t>pv74-M70_Osito-20</t>
  </si>
  <si>
    <t>pv74-M88_Diego-20</t>
  </si>
  <si>
    <t>pv68-F53_Iris-14</t>
  </si>
  <si>
    <t>pv68-F56_Karin-14</t>
  </si>
  <si>
    <t>pv68-M40_Pedro-14</t>
  </si>
  <si>
    <t>pv68-M42_Einar-14</t>
  </si>
  <si>
    <t>pv68-M47_Vemund-14</t>
  </si>
  <si>
    <t>pv35b-04-11</t>
  </si>
  <si>
    <t>pv35b-05-11</t>
  </si>
  <si>
    <t>pv35b-06-11</t>
  </si>
  <si>
    <t>pv35b-08-11</t>
  </si>
  <si>
    <t>pv35b-09-11</t>
  </si>
  <si>
    <t>pv35b-10-11</t>
  </si>
  <si>
    <t>M82_Spreking</t>
  </si>
  <si>
    <t>F59_Tørt</t>
  </si>
  <si>
    <t>M87_Ødi</t>
  </si>
  <si>
    <t>M72_Terje44</t>
  </si>
  <si>
    <t>M72_Snorking</t>
  </si>
  <si>
    <t>F31_Buster-Pia</t>
  </si>
  <si>
    <t>pv76-M78_Rulle-20</t>
  </si>
  <si>
    <t>Tagging year</t>
  </si>
  <si>
    <t>Seal ID</t>
  </si>
  <si>
    <t>Release time after tagging</t>
  </si>
  <si>
    <t>Tagging date</t>
  </si>
  <si>
    <t>Flatskjær, Bolærne</t>
  </si>
  <si>
    <t>Flatekollen, Hvaler</t>
  </si>
  <si>
    <t>Ødegårdskilen, Jomfruland</t>
  </si>
  <si>
    <t>Selskjær, Askerøy</t>
  </si>
  <si>
    <t>NE of Gjesskæra, Jomfruland</t>
  </si>
  <si>
    <t>Girth (cm)</t>
  </si>
  <si>
    <t>Capture site detailed</t>
  </si>
  <si>
    <t>Col lat</t>
  </si>
  <si>
    <t>Col lon</t>
  </si>
  <si>
    <t>Dive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</si>
</sst>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/>
    </xf>
    <xf numFmtId="14" fontId="2" fillId="0" borderId="0" xfId="0" applyNumberFormat="1" applyFont="1" applyAlignment="1">
      <alignment horizontal="left"/>
    </xf>
    <xf numFmtId="20" fontId="0" fillId="0" borderId="0" xfId="0" applyNumberFormat="1" applyAlignment="1">
      <alignment horizontal="left"/>
    </xf>
    <xf numFmtId="20" fontId="0" fillId="0" borderId="1" xfId="0" applyNumberFormat="1" applyBorder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20" fontId="0" fillId="2" borderId="0" xfId="0" applyNumberFormat="1" applyFill="1" applyAlignment="1">
      <alignment horizontal="left"/>
    </xf>
    <xf numFmtId="0" fontId="0" fillId="2" borderId="0" xfId="0" applyFill="1"/>
    <xf numFmtId="0" fontId="0" fillId="0" borderId="0" xfId="0" applyFill="1" applyBorder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1117-41FB-4976-A16F-95B51EB27479}">
  <dimension ref="A1:S36"/>
  <sheetViews>
    <sheetView showGridLines="0" tabSelected="1" workbookViewId="0">
      <selection activeCell="A13" sqref="A13:XFD13"/>
    </sheetView>
  </sheetViews>
  <sheetFormatPr defaultRowHeight="15" x14ac:dyDescent="0.25"/>
  <cols>
    <col min="1" max="1" width="4.28515625" style="3" customWidth="1"/>
    <col min="2" max="2" width="11.140625" style="3" bestFit="1" customWidth="1"/>
    <col min="3" max="3" width="11.28515625" style="3" customWidth="1"/>
    <col min="4" max="4" width="11.42578125" style="3" bestFit="1" customWidth="1"/>
    <col min="5" max="5" width="10.7109375" bestFit="1" customWidth="1"/>
    <col min="6" max="6" width="24.7109375" bestFit="1" customWidth="1"/>
    <col min="7" max="7" width="11.5703125" customWidth="1"/>
    <col min="8" max="8" width="13.7109375" customWidth="1"/>
    <col min="9" max="9" width="10.5703125" style="3" customWidth="1"/>
    <col min="10" max="10" width="22.140625" style="3" customWidth="1"/>
    <col min="11" max="11" width="16.28515625" style="3" customWidth="1"/>
    <col min="12" max="12" width="3.7109375" style="3" customWidth="1"/>
    <col min="13" max="13" width="10.28515625" style="3" customWidth="1"/>
    <col min="14" max="15" width="10.5703125" style="3" customWidth="1"/>
    <col min="16" max="16" width="11.7109375" style="3" customWidth="1"/>
    <col min="17" max="17" width="11.28515625" style="3" customWidth="1"/>
    <col min="18" max="18" width="8.85546875" style="3" customWidth="1"/>
  </cols>
  <sheetData>
    <row r="1" spans="1:19" x14ac:dyDescent="0.25">
      <c r="A1" s="2" t="s">
        <v>31</v>
      </c>
      <c r="B1" s="2" t="s">
        <v>71</v>
      </c>
      <c r="C1" s="2" t="s">
        <v>74</v>
      </c>
      <c r="D1" s="2" t="s">
        <v>73</v>
      </c>
      <c r="E1" s="1" t="s">
        <v>6</v>
      </c>
      <c r="F1" s="1" t="s">
        <v>81</v>
      </c>
      <c r="G1" s="1" t="s">
        <v>82</v>
      </c>
      <c r="H1" s="1" t="s">
        <v>83</v>
      </c>
      <c r="I1" s="2" t="s">
        <v>35</v>
      </c>
      <c r="J1" s="2" t="s">
        <v>36</v>
      </c>
      <c r="K1" s="2" t="s">
        <v>72</v>
      </c>
      <c r="L1" s="2" t="s">
        <v>32</v>
      </c>
      <c r="M1" s="2" t="s">
        <v>33</v>
      </c>
      <c r="N1" s="2" t="s">
        <v>34</v>
      </c>
      <c r="O1" s="2" t="s">
        <v>80</v>
      </c>
      <c r="P1" s="2" t="s">
        <v>74</v>
      </c>
      <c r="Q1" s="2" t="s">
        <v>7</v>
      </c>
      <c r="R1" s="2" t="s">
        <v>8</v>
      </c>
      <c r="S1" s="13" t="s">
        <v>84</v>
      </c>
    </row>
    <row r="2" spans="1:19" ht="15.75" x14ac:dyDescent="0.25">
      <c r="A2" s="3">
        <v>1</v>
      </c>
      <c r="B2" s="3">
        <v>2017</v>
      </c>
      <c r="C2" s="4">
        <v>42972</v>
      </c>
      <c r="D2" s="6"/>
      <c r="E2" t="s">
        <v>4</v>
      </c>
      <c r="F2" t="s">
        <v>79</v>
      </c>
      <c r="G2">
        <v>58.8644094</v>
      </c>
      <c r="H2">
        <v>9.5713369999999998</v>
      </c>
      <c r="I2" s="3">
        <v>44051227</v>
      </c>
      <c r="J2" s="3" t="s">
        <v>58</v>
      </c>
      <c r="K2" s="3" t="s">
        <v>64</v>
      </c>
      <c r="L2" s="3" t="s">
        <v>0</v>
      </c>
      <c r="M2" s="3">
        <v>82</v>
      </c>
      <c r="N2" s="3">
        <v>162</v>
      </c>
      <c r="O2" s="3">
        <v>115</v>
      </c>
      <c r="P2" s="4">
        <v>42972</v>
      </c>
      <c r="Q2" s="4">
        <v>42975</v>
      </c>
      <c r="R2" s="3">
        <f>Q2-P2</f>
        <v>3</v>
      </c>
      <c r="S2" s="3">
        <v>2</v>
      </c>
    </row>
    <row r="3" spans="1:19" ht="15.75" x14ac:dyDescent="0.25">
      <c r="A3" s="3">
        <v>2</v>
      </c>
      <c r="B3" s="3">
        <v>2017</v>
      </c>
      <c r="C3" s="4">
        <v>42972</v>
      </c>
      <c r="D3" s="6"/>
      <c r="E3" t="s">
        <v>4</v>
      </c>
      <c r="F3" t="s">
        <v>79</v>
      </c>
      <c r="G3">
        <v>58.8644094</v>
      </c>
      <c r="H3">
        <v>9.5713369999999998</v>
      </c>
      <c r="I3" s="3">
        <v>44070825</v>
      </c>
      <c r="J3" s="3" t="s">
        <v>59</v>
      </c>
      <c r="K3" s="3" t="s">
        <v>65</v>
      </c>
      <c r="L3" s="3" t="s">
        <v>1</v>
      </c>
      <c r="M3" s="3">
        <v>59</v>
      </c>
      <c r="N3" s="3">
        <v>137</v>
      </c>
      <c r="O3" s="3">
        <v>102</v>
      </c>
      <c r="P3" s="4">
        <v>42972</v>
      </c>
      <c r="Q3" s="4">
        <v>43100</v>
      </c>
      <c r="R3" s="3">
        <f t="shared" ref="R3:R29" si="0">Q3-P3</f>
        <v>128</v>
      </c>
      <c r="S3" s="3">
        <v>2</v>
      </c>
    </row>
    <row r="4" spans="1:19" ht="15.75" x14ac:dyDescent="0.25">
      <c r="A4" s="3">
        <v>3</v>
      </c>
      <c r="B4" s="3">
        <v>2017</v>
      </c>
      <c r="C4" s="4">
        <v>42972</v>
      </c>
      <c r="D4" s="6"/>
      <c r="E4" t="s">
        <v>4</v>
      </c>
      <c r="F4" t="s">
        <v>77</v>
      </c>
      <c r="G4">
        <v>58.863559799999997</v>
      </c>
      <c r="H4">
        <v>9.5265067000000005</v>
      </c>
      <c r="I4" s="3">
        <v>44046783</v>
      </c>
      <c r="J4" s="3" t="s">
        <v>60</v>
      </c>
      <c r="K4" s="3" t="s">
        <v>67</v>
      </c>
      <c r="L4" s="3" t="s">
        <v>0</v>
      </c>
      <c r="M4" s="3">
        <v>72</v>
      </c>
      <c r="N4" s="3">
        <v>149</v>
      </c>
      <c r="O4" s="3">
        <v>126</v>
      </c>
      <c r="P4" s="4">
        <v>42972</v>
      </c>
      <c r="Q4" s="4">
        <v>42994</v>
      </c>
      <c r="R4" s="3">
        <f t="shared" si="0"/>
        <v>22</v>
      </c>
      <c r="S4" s="3">
        <v>2</v>
      </c>
    </row>
    <row r="5" spans="1:19" ht="15.75" x14ac:dyDescent="0.25">
      <c r="A5" s="3">
        <v>4</v>
      </c>
      <c r="B5" s="3">
        <v>2017</v>
      </c>
      <c r="C5" s="4">
        <v>42972</v>
      </c>
      <c r="D5" s="6"/>
      <c r="E5" t="s">
        <v>4</v>
      </c>
      <c r="F5" t="s">
        <v>77</v>
      </c>
      <c r="G5">
        <v>58.863559799999997</v>
      </c>
      <c r="H5">
        <v>9.5265067000000005</v>
      </c>
      <c r="I5" s="3">
        <v>44882236</v>
      </c>
      <c r="J5" s="3" t="s">
        <v>61</v>
      </c>
      <c r="K5" s="3" t="s">
        <v>68</v>
      </c>
      <c r="L5" s="3" t="s">
        <v>0</v>
      </c>
      <c r="M5" s="3">
        <v>72</v>
      </c>
      <c r="N5" s="3">
        <v>149</v>
      </c>
      <c r="O5" s="3">
        <v>114</v>
      </c>
      <c r="P5" s="4">
        <v>42972</v>
      </c>
      <c r="Q5" s="4">
        <v>42982</v>
      </c>
      <c r="R5" s="3">
        <f t="shared" si="0"/>
        <v>10</v>
      </c>
      <c r="S5" s="3">
        <v>2</v>
      </c>
    </row>
    <row r="6" spans="1:19" ht="15.75" x14ac:dyDescent="0.25">
      <c r="A6" s="3">
        <v>5</v>
      </c>
      <c r="B6" s="3">
        <v>2017</v>
      </c>
      <c r="C6" s="4">
        <v>42972</v>
      </c>
      <c r="D6" s="6"/>
      <c r="E6" t="s">
        <v>4</v>
      </c>
      <c r="F6" t="s">
        <v>77</v>
      </c>
      <c r="G6">
        <v>58.863559799999997</v>
      </c>
      <c r="H6">
        <v>9.5265067000000005</v>
      </c>
      <c r="I6" s="3">
        <v>44046784</v>
      </c>
      <c r="J6" s="3" t="s">
        <v>62</v>
      </c>
      <c r="K6" s="3" t="s">
        <v>66</v>
      </c>
      <c r="L6" s="3" t="s">
        <v>0</v>
      </c>
      <c r="M6" s="3">
        <v>87</v>
      </c>
      <c r="N6" s="3">
        <v>150</v>
      </c>
      <c r="O6" s="3">
        <v>122</v>
      </c>
      <c r="P6" s="4">
        <v>42972</v>
      </c>
      <c r="Q6" s="4">
        <v>42973</v>
      </c>
      <c r="R6" s="3">
        <f t="shared" si="0"/>
        <v>1</v>
      </c>
      <c r="S6" s="3">
        <v>2</v>
      </c>
    </row>
    <row r="7" spans="1:19" ht="15.75" x14ac:dyDescent="0.25">
      <c r="A7" s="3">
        <v>6</v>
      </c>
      <c r="B7" s="3">
        <v>2017</v>
      </c>
      <c r="C7" s="4">
        <v>42972</v>
      </c>
      <c r="D7" s="6"/>
      <c r="E7" t="s">
        <v>4</v>
      </c>
      <c r="F7" t="s">
        <v>77</v>
      </c>
      <c r="G7">
        <v>58.863559799999997</v>
      </c>
      <c r="H7">
        <v>9.5265067000000005</v>
      </c>
      <c r="I7" s="3">
        <v>44882237</v>
      </c>
      <c r="J7" s="3" t="s">
        <v>63</v>
      </c>
      <c r="K7" s="3" t="s">
        <v>69</v>
      </c>
      <c r="L7" s="3" t="s">
        <v>1</v>
      </c>
      <c r="M7" s="3">
        <v>31</v>
      </c>
      <c r="N7" s="3">
        <v>115</v>
      </c>
      <c r="O7" s="3">
        <v>81</v>
      </c>
      <c r="P7" s="4">
        <v>42972</v>
      </c>
      <c r="Q7" s="4">
        <v>43035</v>
      </c>
      <c r="R7" s="3">
        <f t="shared" si="0"/>
        <v>63</v>
      </c>
      <c r="S7" s="3">
        <v>2</v>
      </c>
    </row>
    <row r="8" spans="1:19" x14ac:dyDescent="0.25">
      <c r="A8" s="3">
        <v>7</v>
      </c>
      <c r="B8" s="3">
        <v>2019</v>
      </c>
      <c r="C8" s="4">
        <v>43783</v>
      </c>
      <c r="D8" s="7">
        <v>0.52083333333333337</v>
      </c>
      <c r="E8" t="s">
        <v>2</v>
      </c>
      <c r="F8" t="s">
        <v>75</v>
      </c>
      <c r="G8">
        <v>59.192659599999999</v>
      </c>
      <c r="H8">
        <v>10.583084400000001</v>
      </c>
      <c r="I8" s="3">
        <v>12872</v>
      </c>
      <c r="J8" s="3" t="s">
        <v>56</v>
      </c>
      <c r="K8" s="3" t="s">
        <v>18</v>
      </c>
      <c r="L8" s="3" t="s">
        <v>0</v>
      </c>
      <c r="M8" s="3">
        <v>39</v>
      </c>
      <c r="N8" s="3">
        <v>116</v>
      </c>
      <c r="P8" s="4">
        <v>43783</v>
      </c>
      <c r="Q8" s="4">
        <v>43889</v>
      </c>
      <c r="R8" s="3">
        <f t="shared" si="0"/>
        <v>106</v>
      </c>
      <c r="S8" s="3">
        <v>2</v>
      </c>
    </row>
    <row r="9" spans="1:19" x14ac:dyDescent="0.25">
      <c r="A9" s="3">
        <v>8</v>
      </c>
      <c r="B9" s="3">
        <v>2019</v>
      </c>
      <c r="C9" s="4">
        <v>43783</v>
      </c>
      <c r="D9" s="7">
        <v>0.53472222222222221</v>
      </c>
      <c r="E9" t="s">
        <v>2</v>
      </c>
      <c r="F9" t="s">
        <v>75</v>
      </c>
      <c r="G9">
        <v>59.192659599999999</v>
      </c>
      <c r="H9">
        <v>10.583084400000001</v>
      </c>
      <c r="I9" s="3">
        <v>12873</v>
      </c>
      <c r="J9" s="3" t="s">
        <v>57</v>
      </c>
      <c r="K9" s="3" t="s">
        <v>19</v>
      </c>
      <c r="L9" s="3" t="s">
        <v>0</v>
      </c>
      <c r="M9" s="3">
        <v>44</v>
      </c>
      <c r="N9" s="3">
        <v>122</v>
      </c>
      <c r="P9" s="4">
        <v>43783</v>
      </c>
      <c r="Q9" s="4">
        <v>43825</v>
      </c>
      <c r="R9" s="3">
        <f t="shared" si="0"/>
        <v>42</v>
      </c>
      <c r="S9" s="3">
        <v>2</v>
      </c>
    </row>
    <row r="10" spans="1:19" x14ac:dyDescent="0.25">
      <c r="A10" s="3">
        <v>9</v>
      </c>
      <c r="B10" s="3">
        <v>2019</v>
      </c>
      <c r="C10" s="4">
        <v>43783</v>
      </c>
      <c r="D10" s="7">
        <v>0.59027777777777779</v>
      </c>
      <c r="E10" t="s">
        <v>2</v>
      </c>
      <c r="F10" t="s">
        <v>75</v>
      </c>
      <c r="G10">
        <v>59.192659599999999</v>
      </c>
      <c r="H10">
        <v>10.583084400000001</v>
      </c>
      <c r="I10" s="3">
        <v>12910</v>
      </c>
      <c r="J10" s="3" t="s">
        <v>53</v>
      </c>
      <c r="K10" s="3" t="s">
        <v>20</v>
      </c>
      <c r="L10" s="3" t="s">
        <v>1</v>
      </c>
      <c r="M10" s="3">
        <v>50</v>
      </c>
      <c r="N10" s="3">
        <v>120</v>
      </c>
      <c r="P10" s="4">
        <v>43783</v>
      </c>
      <c r="Q10" s="4">
        <v>43919</v>
      </c>
      <c r="R10" s="3">
        <f t="shared" si="0"/>
        <v>136</v>
      </c>
      <c r="S10" s="3">
        <v>2</v>
      </c>
    </row>
    <row r="11" spans="1:19" x14ac:dyDescent="0.25">
      <c r="A11" s="3">
        <v>10</v>
      </c>
      <c r="B11" s="3">
        <v>2019</v>
      </c>
      <c r="C11" s="4">
        <v>43783</v>
      </c>
      <c r="D11" s="7">
        <v>0.57847222222222217</v>
      </c>
      <c r="E11" t="s">
        <v>2</v>
      </c>
      <c r="F11" t="s">
        <v>75</v>
      </c>
      <c r="G11">
        <v>59.192659599999999</v>
      </c>
      <c r="H11">
        <v>10.583084400000001</v>
      </c>
      <c r="I11" s="3">
        <v>13097</v>
      </c>
      <c r="J11" s="3" t="s">
        <v>54</v>
      </c>
      <c r="K11" s="3" t="s">
        <v>21</v>
      </c>
      <c r="L11" s="3" t="s">
        <v>1</v>
      </c>
      <c r="M11" s="3">
        <v>53</v>
      </c>
      <c r="N11" s="3">
        <v>125</v>
      </c>
      <c r="P11" s="4">
        <v>43783</v>
      </c>
      <c r="Q11" s="4">
        <v>43911</v>
      </c>
      <c r="R11" s="3">
        <f t="shared" si="0"/>
        <v>128</v>
      </c>
      <c r="S11" s="3">
        <v>2</v>
      </c>
    </row>
    <row r="12" spans="1:19" x14ac:dyDescent="0.25">
      <c r="A12" s="3">
        <v>11</v>
      </c>
      <c r="B12" s="3">
        <v>2019</v>
      </c>
      <c r="C12" s="4">
        <v>43783</v>
      </c>
      <c r="D12" s="7">
        <v>0.58194444444444449</v>
      </c>
      <c r="E12" t="s">
        <v>2</v>
      </c>
      <c r="F12" t="s">
        <v>75</v>
      </c>
      <c r="G12">
        <v>59.192659599999999</v>
      </c>
      <c r="H12">
        <v>10.583084400000001</v>
      </c>
      <c r="I12" s="3">
        <v>13098</v>
      </c>
      <c r="J12" s="3" t="s">
        <v>55</v>
      </c>
      <c r="K12" s="3" t="s">
        <v>22</v>
      </c>
      <c r="L12" s="3" t="s">
        <v>0</v>
      </c>
      <c r="M12" s="3">
        <v>37</v>
      </c>
      <c r="N12" s="3">
        <v>113</v>
      </c>
      <c r="P12" s="4">
        <v>43783</v>
      </c>
      <c r="Q12" s="4">
        <v>43902</v>
      </c>
      <c r="R12" s="3">
        <f t="shared" si="0"/>
        <v>119</v>
      </c>
      <c r="S12" s="3">
        <v>2</v>
      </c>
    </row>
    <row r="13" spans="1:19" s="12" customFormat="1" x14ac:dyDescent="0.25">
      <c r="A13" s="9">
        <v>12</v>
      </c>
      <c r="B13" s="9">
        <v>2020</v>
      </c>
      <c r="C13" s="10">
        <v>44093</v>
      </c>
      <c r="D13" s="11">
        <v>0.6645833333333333</v>
      </c>
      <c r="E13" s="12" t="s">
        <v>3</v>
      </c>
      <c r="F13" s="12" t="s">
        <v>76</v>
      </c>
      <c r="G13" s="12">
        <v>58.9848651</v>
      </c>
      <c r="H13" s="12">
        <v>10.822574100000001</v>
      </c>
      <c r="I13" s="9">
        <v>20018</v>
      </c>
      <c r="J13" s="9" t="s">
        <v>48</v>
      </c>
      <c r="K13" s="9" t="s">
        <v>23</v>
      </c>
      <c r="L13" s="9" t="s">
        <v>0</v>
      </c>
      <c r="M13" s="9">
        <v>59</v>
      </c>
      <c r="N13" s="9">
        <v>128</v>
      </c>
      <c r="O13" s="9">
        <v>97</v>
      </c>
      <c r="P13" s="10">
        <v>44093</v>
      </c>
      <c r="Q13" s="10">
        <v>44199</v>
      </c>
      <c r="R13" s="9">
        <f t="shared" si="0"/>
        <v>106</v>
      </c>
      <c r="S13" s="9">
        <v>6</v>
      </c>
    </row>
    <row r="14" spans="1:19" s="12" customFormat="1" x14ac:dyDescent="0.25">
      <c r="A14" s="9">
        <v>13</v>
      </c>
      <c r="B14" s="9">
        <v>2020</v>
      </c>
      <c r="C14" s="10">
        <v>44149</v>
      </c>
      <c r="D14" s="11">
        <v>0.38125000000000003</v>
      </c>
      <c r="E14" s="12" t="s">
        <v>4</v>
      </c>
      <c r="F14" s="12" t="s">
        <v>77</v>
      </c>
      <c r="G14" s="12">
        <v>58.863559799999997</v>
      </c>
      <c r="H14" s="12">
        <v>9.5265067000000005</v>
      </c>
      <c r="I14" s="9">
        <v>20019</v>
      </c>
      <c r="J14" s="9" t="s">
        <v>49</v>
      </c>
      <c r="K14" s="9" t="s">
        <v>24</v>
      </c>
      <c r="L14" s="9" t="s">
        <v>0</v>
      </c>
      <c r="M14" s="9">
        <v>83</v>
      </c>
      <c r="N14" s="9">
        <v>156</v>
      </c>
      <c r="O14" s="9">
        <v>112</v>
      </c>
      <c r="P14" s="10">
        <v>44149</v>
      </c>
      <c r="Q14" s="10">
        <v>44239</v>
      </c>
      <c r="R14" s="9">
        <f t="shared" si="0"/>
        <v>90</v>
      </c>
      <c r="S14" s="9">
        <v>6</v>
      </c>
    </row>
    <row r="15" spans="1:19" s="12" customFormat="1" x14ac:dyDescent="0.25">
      <c r="A15" s="9">
        <v>14</v>
      </c>
      <c r="B15" s="9">
        <v>2020</v>
      </c>
      <c r="C15" s="10">
        <v>44149</v>
      </c>
      <c r="D15" s="11">
        <v>0.38750000000000001</v>
      </c>
      <c r="E15" s="12" t="s">
        <v>4</v>
      </c>
      <c r="F15" s="12" t="s">
        <v>77</v>
      </c>
      <c r="G15" s="12">
        <v>58.863559799999997</v>
      </c>
      <c r="H15" s="12">
        <v>9.5265067000000005</v>
      </c>
      <c r="I15" s="9">
        <v>20020</v>
      </c>
      <c r="J15" s="9" t="s">
        <v>50</v>
      </c>
      <c r="K15" s="9" t="s">
        <v>25</v>
      </c>
      <c r="L15" s="9" t="s">
        <v>1</v>
      </c>
      <c r="M15" s="9">
        <v>43</v>
      </c>
      <c r="N15" s="9">
        <v>112</v>
      </c>
      <c r="O15" s="9">
        <v>82</v>
      </c>
      <c r="P15" s="10">
        <v>44149</v>
      </c>
      <c r="Q15" s="10">
        <v>44271</v>
      </c>
      <c r="R15" s="9">
        <f t="shared" si="0"/>
        <v>122</v>
      </c>
      <c r="S15" s="9">
        <v>6</v>
      </c>
    </row>
    <row r="16" spans="1:19" s="12" customFormat="1" x14ac:dyDescent="0.25">
      <c r="A16" s="9">
        <v>15</v>
      </c>
      <c r="B16" s="9">
        <v>2020</v>
      </c>
      <c r="C16" s="10">
        <v>44149</v>
      </c>
      <c r="D16" s="11">
        <v>0.41388888888888892</v>
      </c>
      <c r="E16" s="12" t="s">
        <v>4</v>
      </c>
      <c r="F16" s="12" t="s">
        <v>77</v>
      </c>
      <c r="G16" s="12">
        <v>58.863559799999997</v>
      </c>
      <c r="H16" s="12">
        <v>9.5265067000000005</v>
      </c>
      <c r="I16" s="9">
        <v>20021</v>
      </c>
      <c r="J16" s="9" t="s">
        <v>51</v>
      </c>
      <c r="K16" s="9" t="s">
        <v>26</v>
      </c>
      <c r="L16" s="9" t="s">
        <v>0</v>
      </c>
      <c r="M16" s="9">
        <v>67</v>
      </c>
      <c r="N16" s="9">
        <v>137</v>
      </c>
      <c r="O16" s="9">
        <v>104</v>
      </c>
      <c r="P16" s="10">
        <v>44149</v>
      </c>
      <c r="Q16" s="10">
        <v>44275</v>
      </c>
      <c r="R16" s="9">
        <f t="shared" si="0"/>
        <v>126</v>
      </c>
      <c r="S16" s="9">
        <v>6</v>
      </c>
    </row>
    <row r="17" spans="1:19" s="12" customFormat="1" x14ac:dyDescent="0.25">
      <c r="A17" s="9">
        <v>16</v>
      </c>
      <c r="B17" s="9">
        <v>2020</v>
      </c>
      <c r="C17" s="10">
        <v>44149</v>
      </c>
      <c r="D17" s="11">
        <v>0.41875000000000001</v>
      </c>
      <c r="E17" s="12" t="s">
        <v>4</v>
      </c>
      <c r="F17" s="12" t="s">
        <v>77</v>
      </c>
      <c r="G17" s="12">
        <v>58.863559799999997</v>
      </c>
      <c r="H17" s="12">
        <v>9.5265067000000005</v>
      </c>
      <c r="I17" s="9">
        <v>20022</v>
      </c>
      <c r="J17" s="9" t="s">
        <v>52</v>
      </c>
      <c r="K17" s="9" t="s">
        <v>27</v>
      </c>
      <c r="L17" s="9" t="s">
        <v>0</v>
      </c>
      <c r="M17" s="9">
        <v>85</v>
      </c>
      <c r="N17" s="9">
        <v>135</v>
      </c>
      <c r="O17" s="9">
        <v>111</v>
      </c>
      <c r="P17" s="10">
        <v>44149</v>
      </c>
      <c r="Q17" s="10">
        <v>44288</v>
      </c>
      <c r="R17" s="9">
        <f t="shared" si="0"/>
        <v>139</v>
      </c>
      <c r="S17" s="9">
        <v>6</v>
      </c>
    </row>
    <row r="18" spans="1:19" x14ac:dyDescent="0.25">
      <c r="A18" s="3">
        <v>17</v>
      </c>
      <c r="B18" s="3">
        <v>2021</v>
      </c>
      <c r="C18" s="4">
        <v>44462</v>
      </c>
      <c r="D18" s="7">
        <v>0.55902777777777779</v>
      </c>
      <c r="E18" t="s">
        <v>5</v>
      </c>
      <c r="F18" t="s">
        <v>78</v>
      </c>
      <c r="G18">
        <v>58.617194499999997</v>
      </c>
      <c r="H18">
        <v>9.0740523999999994</v>
      </c>
      <c r="I18" s="3">
        <v>20025</v>
      </c>
      <c r="J18" s="3" t="s">
        <v>46</v>
      </c>
      <c r="K18" s="3" t="s">
        <v>28</v>
      </c>
      <c r="L18" s="3" t="s">
        <v>0</v>
      </c>
      <c r="M18" s="3">
        <v>80</v>
      </c>
      <c r="N18" s="3">
        <v>160</v>
      </c>
      <c r="O18" s="3">
        <v>118</v>
      </c>
      <c r="P18" s="4">
        <v>44462</v>
      </c>
      <c r="Q18" s="4">
        <v>44589</v>
      </c>
      <c r="R18" s="14">
        <f t="shared" si="0"/>
        <v>127</v>
      </c>
      <c r="S18" s="14">
        <v>6</v>
      </c>
    </row>
    <row r="19" spans="1:19" x14ac:dyDescent="0.25">
      <c r="A19" s="3">
        <v>18</v>
      </c>
      <c r="B19" s="3">
        <v>2021</v>
      </c>
      <c r="C19" s="4">
        <v>44462</v>
      </c>
      <c r="D19" s="7">
        <v>0.57291666666666663</v>
      </c>
      <c r="E19" t="s">
        <v>5</v>
      </c>
      <c r="F19" t="s">
        <v>78</v>
      </c>
      <c r="G19">
        <v>58.617194499999997</v>
      </c>
      <c r="H19">
        <v>9.0740523999999994</v>
      </c>
      <c r="I19" s="3">
        <v>20026</v>
      </c>
      <c r="J19" s="3" t="s">
        <v>70</v>
      </c>
      <c r="K19" s="3" t="s">
        <v>29</v>
      </c>
      <c r="L19" s="3" t="s">
        <v>0</v>
      </c>
      <c r="M19" s="3">
        <v>75</v>
      </c>
      <c r="N19" s="3">
        <v>121</v>
      </c>
      <c r="O19" s="3">
        <v>106</v>
      </c>
      <c r="P19" s="4">
        <v>44462</v>
      </c>
      <c r="Q19" s="4">
        <v>44576</v>
      </c>
      <c r="R19" s="14">
        <f t="shared" si="0"/>
        <v>114</v>
      </c>
      <c r="S19" s="14">
        <v>6</v>
      </c>
    </row>
    <row r="20" spans="1:19" x14ac:dyDescent="0.25">
      <c r="A20" s="3">
        <v>19</v>
      </c>
      <c r="B20" s="3">
        <v>2021</v>
      </c>
      <c r="C20" s="4">
        <v>44462</v>
      </c>
      <c r="D20" s="7">
        <v>0.5854166666666667</v>
      </c>
      <c r="E20" t="s">
        <v>5</v>
      </c>
      <c r="F20" t="s">
        <v>78</v>
      </c>
      <c r="G20">
        <v>58.617194499999997</v>
      </c>
      <c r="H20">
        <v>9.0740523999999994</v>
      </c>
      <c r="I20" s="3">
        <v>20027</v>
      </c>
      <c r="J20" s="3" t="s">
        <v>47</v>
      </c>
      <c r="K20" s="3" t="s">
        <v>30</v>
      </c>
      <c r="L20" s="3" t="s">
        <v>0</v>
      </c>
      <c r="M20" s="3">
        <v>91</v>
      </c>
      <c r="N20" s="3">
        <v>146</v>
      </c>
      <c r="O20" s="3">
        <v>116</v>
      </c>
      <c r="P20" s="4">
        <v>44462</v>
      </c>
      <c r="Q20" s="4">
        <v>44640</v>
      </c>
      <c r="R20" s="14">
        <f t="shared" si="0"/>
        <v>178</v>
      </c>
      <c r="S20" s="14">
        <v>6</v>
      </c>
    </row>
    <row r="21" spans="1:19" x14ac:dyDescent="0.25">
      <c r="A21" s="3">
        <v>20</v>
      </c>
      <c r="B21" s="3">
        <v>2022</v>
      </c>
      <c r="C21" s="4">
        <v>44826</v>
      </c>
      <c r="D21" s="7">
        <v>0.56736111111111109</v>
      </c>
      <c r="E21" t="s">
        <v>2</v>
      </c>
      <c r="F21" t="s">
        <v>75</v>
      </c>
      <c r="G21">
        <v>59.192659599999999</v>
      </c>
      <c r="H21">
        <v>10.583084400000001</v>
      </c>
      <c r="I21" s="3">
        <v>20028</v>
      </c>
      <c r="J21" s="3" t="s">
        <v>38</v>
      </c>
      <c r="K21" s="3" t="s">
        <v>9</v>
      </c>
      <c r="L21" s="3" t="s">
        <v>0</v>
      </c>
      <c r="M21" s="3">
        <v>75</v>
      </c>
      <c r="N21" s="3">
        <v>145</v>
      </c>
      <c r="O21" s="3">
        <v>107</v>
      </c>
      <c r="P21" s="4">
        <v>44826</v>
      </c>
      <c r="Q21" s="4">
        <v>44938</v>
      </c>
      <c r="R21" s="14">
        <f t="shared" si="0"/>
        <v>112</v>
      </c>
      <c r="S21" s="14">
        <v>6</v>
      </c>
    </row>
    <row r="22" spans="1:19" x14ac:dyDescent="0.25">
      <c r="A22" s="3">
        <v>21</v>
      </c>
      <c r="B22" s="3">
        <v>2022</v>
      </c>
      <c r="C22" s="4">
        <v>44826</v>
      </c>
      <c r="D22" s="7">
        <v>0.56736111111111109</v>
      </c>
      <c r="E22" t="s">
        <v>2</v>
      </c>
      <c r="F22" t="s">
        <v>75</v>
      </c>
      <c r="G22">
        <v>59.192659599999999</v>
      </c>
      <c r="H22">
        <v>10.583084400000001</v>
      </c>
      <c r="I22" s="3">
        <v>20029</v>
      </c>
      <c r="J22" s="3" t="s">
        <v>39</v>
      </c>
      <c r="K22" s="3" t="s">
        <v>10</v>
      </c>
      <c r="L22" s="3" t="s">
        <v>0</v>
      </c>
      <c r="M22" s="3">
        <v>73</v>
      </c>
      <c r="N22" s="3">
        <v>139</v>
      </c>
      <c r="O22" s="3">
        <v>109</v>
      </c>
      <c r="P22" s="4">
        <v>44826</v>
      </c>
      <c r="Q22" s="4">
        <v>44933</v>
      </c>
      <c r="R22" s="14">
        <f t="shared" si="0"/>
        <v>107</v>
      </c>
      <c r="S22" s="14">
        <v>6</v>
      </c>
    </row>
    <row r="23" spans="1:19" x14ac:dyDescent="0.25">
      <c r="A23" s="3">
        <v>22</v>
      </c>
      <c r="B23" s="3">
        <v>2022</v>
      </c>
      <c r="C23" s="4">
        <v>44826</v>
      </c>
      <c r="D23" s="7">
        <v>0.59027777777777779</v>
      </c>
      <c r="E23" t="s">
        <v>2</v>
      </c>
      <c r="F23" t="s">
        <v>75</v>
      </c>
      <c r="G23">
        <v>59.192659599999999</v>
      </c>
      <c r="H23">
        <v>10.583084400000001</v>
      </c>
      <c r="I23" s="3">
        <v>20030</v>
      </c>
      <c r="J23" s="3" t="s">
        <v>40</v>
      </c>
      <c r="K23" s="3" t="s">
        <v>11</v>
      </c>
      <c r="L23" s="3" t="s">
        <v>0</v>
      </c>
      <c r="M23" s="3">
        <v>86</v>
      </c>
      <c r="N23" s="3">
        <v>147</v>
      </c>
      <c r="O23" s="3">
        <v>110</v>
      </c>
      <c r="P23" s="4">
        <v>44826</v>
      </c>
      <c r="Q23" s="4">
        <v>44884</v>
      </c>
      <c r="R23" s="3">
        <f t="shared" si="0"/>
        <v>58</v>
      </c>
      <c r="S23" s="14">
        <v>6</v>
      </c>
    </row>
    <row r="24" spans="1:19" x14ac:dyDescent="0.25">
      <c r="A24" s="3">
        <v>23</v>
      </c>
      <c r="B24" s="3">
        <v>2022</v>
      </c>
      <c r="C24" s="4">
        <v>44832</v>
      </c>
      <c r="D24" s="7">
        <v>0.54999999999999993</v>
      </c>
      <c r="E24" t="s">
        <v>2</v>
      </c>
      <c r="F24" t="s">
        <v>75</v>
      </c>
      <c r="G24">
        <v>59.192659599999999</v>
      </c>
      <c r="H24">
        <v>10.583084400000001</v>
      </c>
      <c r="I24" s="3">
        <v>20064</v>
      </c>
      <c r="J24" s="3" t="s">
        <v>41</v>
      </c>
      <c r="K24" s="3" t="s">
        <v>12</v>
      </c>
      <c r="L24" s="3" t="s">
        <v>0</v>
      </c>
      <c r="M24" s="3">
        <v>79</v>
      </c>
      <c r="N24" s="3">
        <v>138</v>
      </c>
      <c r="O24" s="3">
        <v>107</v>
      </c>
      <c r="P24" s="4">
        <v>44832</v>
      </c>
      <c r="Q24" s="4">
        <v>44967</v>
      </c>
      <c r="R24" s="3">
        <f t="shared" si="0"/>
        <v>135</v>
      </c>
      <c r="S24" s="14">
        <v>6</v>
      </c>
    </row>
    <row r="25" spans="1:19" x14ac:dyDescent="0.25">
      <c r="A25" s="3">
        <v>24</v>
      </c>
      <c r="B25" s="3">
        <v>2022</v>
      </c>
      <c r="C25" s="4">
        <v>44832</v>
      </c>
      <c r="D25" s="7">
        <v>0.56527777777777777</v>
      </c>
      <c r="E25" t="s">
        <v>2</v>
      </c>
      <c r="F25" t="s">
        <v>75</v>
      </c>
      <c r="G25">
        <v>59.192659599999999</v>
      </c>
      <c r="H25">
        <v>10.583084400000001</v>
      </c>
      <c r="I25" s="3">
        <v>20065</v>
      </c>
      <c r="J25" s="3" t="s">
        <v>42</v>
      </c>
      <c r="K25" s="3" t="s">
        <v>13</v>
      </c>
      <c r="L25" s="3" t="s">
        <v>0</v>
      </c>
      <c r="M25" s="3">
        <v>62</v>
      </c>
      <c r="N25" s="3">
        <v>134</v>
      </c>
      <c r="O25" s="3">
        <v>101</v>
      </c>
      <c r="P25" s="4">
        <v>44832</v>
      </c>
      <c r="Q25" s="4">
        <v>44952</v>
      </c>
      <c r="R25" s="3">
        <f t="shared" si="0"/>
        <v>120</v>
      </c>
      <c r="S25" s="14">
        <v>6</v>
      </c>
    </row>
    <row r="26" spans="1:19" x14ac:dyDescent="0.25">
      <c r="A26" s="3">
        <v>25</v>
      </c>
      <c r="B26" s="3">
        <v>2022</v>
      </c>
      <c r="C26" s="4">
        <v>44832</v>
      </c>
      <c r="D26" s="7">
        <v>0.56597222222222221</v>
      </c>
      <c r="E26" t="s">
        <v>2</v>
      </c>
      <c r="F26" t="s">
        <v>75</v>
      </c>
      <c r="G26">
        <v>59.192659599999999</v>
      </c>
      <c r="H26">
        <v>10.583084400000001</v>
      </c>
      <c r="I26" s="3">
        <v>20066</v>
      </c>
      <c r="J26" s="3" t="s">
        <v>43</v>
      </c>
      <c r="K26" s="3" t="s">
        <v>14</v>
      </c>
      <c r="L26" s="3" t="s">
        <v>0</v>
      </c>
      <c r="M26" s="3">
        <v>81</v>
      </c>
      <c r="N26" s="3">
        <v>142</v>
      </c>
      <c r="O26" s="3">
        <v>102</v>
      </c>
      <c r="P26" s="4">
        <v>44832</v>
      </c>
      <c r="Q26" s="4">
        <v>44927</v>
      </c>
      <c r="R26" s="3">
        <f t="shared" si="0"/>
        <v>95</v>
      </c>
      <c r="S26" s="14">
        <v>6</v>
      </c>
    </row>
    <row r="27" spans="1:19" x14ac:dyDescent="0.25">
      <c r="A27" s="3">
        <v>26</v>
      </c>
      <c r="B27" s="3">
        <v>2022</v>
      </c>
      <c r="C27" s="4">
        <v>44832</v>
      </c>
      <c r="D27" s="7">
        <v>0.56597222222222221</v>
      </c>
      <c r="E27" t="s">
        <v>2</v>
      </c>
      <c r="F27" t="s">
        <v>75</v>
      </c>
      <c r="G27">
        <v>59.192659599999999</v>
      </c>
      <c r="H27">
        <v>10.583084400000001</v>
      </c>
      <c r="I27" s="3">
        <v>20067</v>
      </c>
      <c r="J27" s="3" t="s">
        <v>44</v>
      </c>
      <c r="K27" s="3" t="s">
        <v>15</v>
      </c>
      <c r="L27" s="3" t="s">
        <v>0</v>
      </c>
      <c r="M27" s="3">
        <v>87</v>
      </c>
      <c r="N27" s="3">
        <v>145</v>
      </c>
      <c r="O27" s="3">
        <v>114</v>
      </c>
      <c r="P27" s="4">
        <v>44832</v>
      </c>
      <c r="Q27" s="4">
        <v>44890</v>
      </c>
      <c r="R27" s="3">
        <f t="shared" si="0"/>
        <v>58</v>
      </c>
      <c r="S27" s="14">
        <v>6</v>
      </c>
    </row>
    <row r="28" spans="1:19" x14ac:dyDescent="0.25">
      <c r="A28" s="3">
        <v>27</v>
      </c>
      <c r="B28" s="3">
        <v>2022</v>
      </c>
      <c r="C28" s="4">
        <v>44832</v>
      </c>
      <c r="D28" s="7">
        <v>0.59027777777777779</v>
      </c>
      <c r="E28" t="s">
        <v>2</v>
      </c>
      <c r="F28" t="s">
        <v>75</v>
      </c>
      <c r="G28">
        <v>59.192659599999999</v>
      </c>
      <c r="H28">
        <v>10.583084400000001</v>
      </c>
      <c r="I28" s="3">
        <v>20068</v>
      </c>
      <c r="J28" s="3" t="s">
        <v>45</v>
      </c>
      <c r="K28" s="3" t="s">
        <v>16</v>
      </c>
      <c r="L28" s="3" t="s">
        <v>1</v>
      </c>
      <c r="M28" s="3">
        <v>36</v>
      </c>
      <c r="N28" s="3">
        <v>111</v>
      </c>
      <c r="O28" s="3">
        <v>82</v>
      </c>
      <c r="P28" s="4">
        <v>44832</v>
      </c>
      <c r="Q28" s="4">
        <v>44947</v>
      </c>
      <c r="R28" s="3">
        <f t="shared" si="0"/>
        <v>115</v>
      </c>
      <c r="S28" s="14">
        <v>6</v>
      </c>
    </row>
    <row r="29" spans="1:19" x14ac:dyDescent="0.25">
      <c r="A29" s="2">
        <v>28</v>
      </c>
      <c r="B29" s="2">
        <v>2022</v>
      </c>
      <c r="C29" s="5">
        <v>44832</v>
      </c>
      <c r="D29" s="8">
        <v>0.60416666666666663</v>
      </c>
      <c r="E29" s="1" t="s">
        <v>2</v>
      </c>
      <c r="F29" s="1" t="s">
        <v>75</v>
      </c>
      <c r="G29" s="1">
        <v>59.192659599999999</v>
      </c>
      <c r="H29" s="1">
        <v>10.583084400000001</v>
      </c>
      <c r="I29" s="2">
        <v>20023</v>
      </c>
      <c r="J29" s="2" t="s">
        <v>37</v>
      </c>
      <c r="K29" s="2" t="s">
        <v>17</v>
      </c>
      <c r="L29" s="2" t="s">
        <v>0</v>
      </c>
      <c r="M29" s="2">
        <v>67</v>
      </c>
      <c r="N29" s="2">
        <v>148</v>
      </c>
      <c r="O29" s="2">
        <v>99</v>
      </c>
      <c r="P29" s="5">
        <v>44832</v>
      </c>
      <c r="Q29" s="5">
        <v>44970</v>
      </c>
      <c r="R29" s="2">
        <f t="shared" si="0"/>
        <v>138</v>
      </c>
      <c r="S29" s="14">
        <v>6</v>
      </c>
    </row>
    <row r="31" spans="1:19" x14ac:dyDescent="0.25">
      <c r="B31"/>
    </row>
    <row r="32" spans="1:19" x14ac:dyDescent="0.25">
      <c r="B32"/>
      <c r="C32"/>
    </row>
    <row r="33" spans="2:4" x14ac:dyDescent="0.25">
      <c r="B33"/>
      <c r="C33"/>
    </row>
    <row r="34" spans="2:4" x14ac:dyDescent="0.25">
      <c r="B34"/>
    </row>
    <row r="35" spans="2:4" x14ac:dyDescent="0.25">
      <c r="C35"/>
      <c r="D35"/>
    </row>
    <row r="36" spans="2:4" x14ac:dyDescent="0.25">
      <c r="C36"/>
      <c r="D36"/>
    </row>
  </sheetData>
  <sortState xmlns:xlrd2="http://schemas.microsoft.com/office/spreadsheetml/2017/richdata2" ref="I2:R7">
    <sortCondition ref="K2:K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Brandt, Carla Freitas</dc:creator>
  <cp:lastModifiedBy>Riaz, Javed Zafar</cp:lastModifiedBy>
  <dcterms:created xsi:type="dcterms:W3CDTF">2019-11-14T16:41:02Z</dcterms:created>
  <dcterms:modified xsi:type="dcterms:W3CDTF">2025-06-26T06:09:49Z</dcterms:modified>
</cp:coreProperties>
</file>